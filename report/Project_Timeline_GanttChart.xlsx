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miryarmohamadi/Desktop/"/>
    </mc:Choice>
  </mc:AlternateContent>
  <xr:revisionPtr revIDLastSave="0" documentId="13_ncr:1_{50C22CE4-6502-4C4F-8D3F-5B135E25F74C}" xr6:coauthVersionLast="47" xr6:coauthVersionMax="47" xr10:uidLastSave="{00000000-0000-0000-0000-000000000000}"/>
  <bookViews>
    <workbookView xWindow="0" yWindow="620" windowWidth="28800" windowHeight="15900" activeTab="1" xr2:uid="{00000000-000D-0000-FFFF-FFFF00000000}"/>
  </bookViews>
  <sheets>
    <sheet name="Sheet1" sheetId="1" r:id="rId1"/>
    <sheet name="Sheet3" sheetId="3" r:id="rId2"/>
    <sheet name="Sheet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3" l="1"/>
  <c r="E10" i="3"/>
  <c r="E9" i="3"/>
  <c r="E8" i="3"/>
  <c r="E7" i="3"/>
  <c r="E6" i="3"/>
  <c r="E5" i="3"/>
  <c r="L15" i="3"/>
  <c r="E4" i="3"/>
</calcChain>
</file>

<file path=xl/sharedStrings.xml><?xml version="1.0" encoding="utf-8"?>
<sst xmlns="http://schemas.openxmlformats.org/spreadsheetml/2006/main" count="81" uniqueCount="70">
  <si>
    <t>Phase</t>
  </si>
  <si>
    <t>Start Date</t>
  </si>
  <si>
    <t>End Date</t>
  </si>
  <si>
    <t>Status</t>
  </si>
  <si>
    <t>Italian Description</t>
  </si>
  <si>
    <t>Phase 1 — Exploration &amp; Setup</t>
  </si>
  <si>
    <t>Phase 2 — Pipeline Design</t>
  </si>
  <si>
    <t>Phase 3 — Core Implementation</t>
  </si>
  <si>
    <t>Phase 4 — Integration &amp; LangChain Agent</t>
  </si>
  <si>
    <t>Phase 5 — LLM &amp; User Interface Development</t>
  </si>
  <si>
    <t>Phase 6 — System Integration &amp; Validation</t>
  </si>
  <si>
    <t>Phase 7 — Documentation &amp; Final Delivery</t>
  </si>
  <si>
    <t>2025-09-25</t>
  </si>
  <si>
    <t>2025-10-06</t>
  </si>
  <si>
    <t>2025-10-13</t>
  </si>
  <si>
    <t>2025-10-20</t>
  </si>
  <si>
    <t>2025-11-03</t>
  </si>
  <si>
    <t>2025-11-10</t>
  </si>
  <si>
    <t>2025-11-24</t>
  </si>
  <si>
    <t>2025-10-01</t>
  </si>
  <si>
    <t>2025-10-10</t>
  </si>
  <si>
    <t>2025-10-17</t>
  </si>
  <si>
    <t>2025-10-31</t>
  </si>
  <si>
    <t>2025-11-07</t>
  </si>
  <si>
    <t>2025-11-21</t>
  </si>
  <si>
    <t>2025-11-28</t>
  </si>
  <si>
    <t>Completed</t>
  </si>
  <si>
    <t>In Progress</t>
  </si>
  <si>
    <t>Planned</t>
  </si>
  <si>
    <t>Familiarizzazione con Code_Aster e Gmsh; comprensione del flusso FEM open-source.</t>
  </si>
  <si>
    <t>Definizione dell'architettura e del metodo di automazione.</t>
  </si>
  <si>
    <t>Sviluppo dei primi script Python e integrazione iniziale di LangChain.</t>
  </si>
  <si>
    <t>Configurazione dell'ambiente, creazione degli strumenti, test di connessione con Code_Aster.</t>
  </si>
  <si>
    <t>Sviluppo dell’interfaccia LLM per l’interazione utente e visualizzazione dei risultati.</t>
  </si>
  <si>
    <t>Collegamento dei moduli, validazione della catena completa e test funzionali.</t>
  </si>
  <si>
    <t>Redazione della documentazione e preparazione della presentazione finale.</t>
  </si>
  <si>
    <t>Task</t>
  </si>
  <si>
    <t>Duration</t>
  </si>
  <si>
    <t>Start</t>
  </si>
  <si>
    <t>End</t>
  </si>
  <si>
    <t>Goal</t>
  </si>
  <si>
    <t>1. Exploration &amp; Setup</t>
  </si>
  <si>
    <t>Understand solver basics</t>
  </si>
  <si>
    <t>duration</t>
  </si>
  <si>
    <t>Week</t>
  </si>
  <si>
    <t>Last Week of Sept</t>
  </si>
  <si>
    <t>Week 1 (Oct)</t>
  </si>
  <si>
    <t>Week 2 (Oct)</t>
  </si>
  <si>
    <t>Week 3 (Oct)</t>
  </si>
  <si>
    <t>Week 4 (Oct)</t>
  </si>
  <si>
    <t>Week 1 of Dec</t>
  </si>
  <si>
    <t>Week 2 of Dec</t>
  </si>
  <si>
    <t>Week 3 of Dec</t>
  </si>
  <si>
    <t>Week 4 of Dec</t>
  </si>
  <si>
    <t>Learn Code_Aster &amp; Gmsh and syntax</t>
  </si>
  <si>
    <t>finding the integration method and system architecture</t>
  </si>
  <si>
    <t>Learning Langchain</t>
  </si>
  <si>
    <t xml:space="preserve">Working on tools and testing </t>
  </si>
  <si>
    <t>LLM platform + Agents</t>
  </si>
  <si>
    <t>final configuration and tools integration</t>
  </si>
  <si>
    <t>Conclusion, test, and documentation</t>
  </si>
  <si>
    <t>3.11.2025</t>
  </si>
  <si>
    <t>3.11.2028</t>
  </si>
  <si>
    <t>3.11.2029</t>
  </si>
  <si>
    <t>3.11.2030</t>
  </si>
  <si>
    <t>3.11.2024</t>
  </si>
  <si>
    <t>4.11.2026</t>
  </si>
  <si>
    <t>5.11.2027</t>
  </si>
  <si>
    <t>Code_aster Output Visualization</t>
  </si>
  <si>
    <t>Langchain+Code Aster Project (Task-Level Breakdown)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</si>
</sst>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68" fontId="0" fillId="0" borderId="0" xfId="0" applyNumberFormat="1"/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2" fillId="0" borderId="0" xfId="0" applyFont="1"/>
    <xf numFmtId="0" fontId="4" fillId="0" borderId="0" xfId="0" applyFont="1"/>
    <xf numFmtId="16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Sheet3!$B$1</c:f>
          <c:strCache>
            <c:ptCount val="1"/>
            <c:pt idx="0">
              <c:v>Langchain+Code Aster Project (Task-Level Breakdown)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>
        <c:manualLayout>
          <c:layoutTarget val="inner"/>
          <c:xMode val="edge"/>
          <c:yMode val="edge"/>
          <c:x val="0.18315169213119883"/>
          <c:y val="0.18449471088841163"/>
          <c:w val="0.76523239644713281"/>
          <c:h val="0.7932830668893661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Sheet3!$C$2</c:f>
              <c:strCache>
                <c:ptCount val="1"/>
                <c:pt idx="0">
                  <c:v>Start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Sheet3!$B$4:$B$11</c:f>
              <c:strCache>
                <c:ptCount val="8"/>
                <c:pt idx="0">
                  <c:v>Learn Code_Aster &amp; Gmsh and syntax</c:v>
                </c:pt>
                <c:pt idx="1">
                  <c:v>finding the integration method and system architecture</c:v>
                </c:pt>
                <c:pt idx="2">
                  <c:v>Learning Langchain</c:v>
                </c:pt>
                <c:pt idx="3">
                  <c:v>Working on tools and testing </c:v>
                </c:pt>
                <c:pt idx="4">
                  <c:v>Code_aster Output Visualization</c:v>
                </c:pt>
                <c:pt idx="5">
                  <c:v>LLM platform + Agents</c:v>
                </c:pt>
                <c:pt idx="6">
                  <c:v>final configuration and tools integration</c:v>
                </c:pt>
                <c:pt idx="7">
                  <c:v>Conclusion, test, and documentation</c:v>
                </c:pt>
              </c:strCache>
            </c:strRef>
          </c:cat>
          <c:val>
            <c:numRef>
              <c:f>Sheet3!$C$4:$C$11</c:f>
              <c:numCache>
                <c:formatCode>m/d/yy</c:formatCode>
                <c:ptCount val="8"/>
                <c:pt idx="0">
                  <c:v>45925</c:v>
                </c:pt>
                <c:pt idx="1">
                  <c:v>45936</c:v>
                </c:pt>
                <c:pt idx="2">
                  <c:v>45947</c:v>
                </c:pt>
                <c:pt idx="3">
                  <c:v>45950</c:v>
                </c:pt>
                <c:pt idx="4">
                  <c:v>45958</c:v>
                </c:pt>
                <c:pt idx="5">
                  <c:v>45962</c:v>
                </c:pt>
                <c:pt idx="6">
                  <c:v>45968</c:v>
                </c:pt>
                <c:pt idx="7">
                  <c:v>45975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86-BC44-B35E-33485ABB922A}"/>
            </c:ext>
          </c:extLst>
        </c:ser>
        <c:ser>
          <c:idx val="1"/>
          <c:order val="1"/>
          <c:tx>
            <c:strRef>
              <c:f>Sheet3!$E$2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586-BC44-B35E-33485ABB922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586-BC44-B35E-33485ABB922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586-BC44-B35E-33485ABB922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F586-BC44-B35E-33485ABB922A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586-BC44-B35E-33485ABB922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F586-BC44-B35E-33485ABB922A}"/>
              </c:ext>
            </c:extLst>
          </c:dPt>
          <c:dPt>
            <c:idx val="6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586-BC44-B35E-33485ABB922A}"/>
              </c:ext>
            </c:extLst>
          </c:dPt>
          <c:dPt>
            <c:idx val="7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F586-BC44-B35E-33485ABB922A}"/>
              </c:ext>
            </c:extLst>
          </c:dPt>
          <c:cat>
            <c:strRef>
              <c:f>Sheet3!$B$4:$B$11</c:f>
              <c:strCache>
                <c:ptCount val="8"/>
                <c:pt idx="0">
                  <c:v>Learn Code_Aster &amp; Gmsh and syntax</c:v>
                </c:pt>
                <c:pt idx="1">
                  <c:v>finding the integration method and system architecture</c:v>
                </c:pt>
                <c:pt idx="2">
                  <c:v>Learning Langchain</c:v>
                </c:pt>
                <c:pt idx="3">
                  <c:v>Working on tools and testing </c:v>
                </c:pt>
                <c:pt idx="4">
                  <c:v>Code_aster Output Visualization</c:v>
                </c:pt>
                <c:pt idx="5">
                  <c:v>LLM platform + Agents</c:v>
                </c:pt>
                <c:pt idx="6">
                  <c:v>final configuration and tools integration</c:v>
                </c:pt>
                <c:pt idx="7">
                  <c:v>Conclusion, test, and documentation</c:v>
                </c:pt>
              </c:strCache>
            </c:strRef>
          </c:cat>
          <c:val>
            <c:numRef>
              <c:f>Sheet3!$E$4:$E$11</c:f>
              <c:numCache>
                <c:formatCode>0</c:formatCode>
                <c:ptCount val="8"/>
                <c:pt idx="0">
                  <c:v>22</c:v>
                </c:pt>
                <c:pt idx="1">
                  <c:v>11</c:v>
                </c:pt>
                <c:pt idx="2">
                  <c:v>38</c:v>
                </c:pt>
                <c:pt idx="3">
                  <c:v>14</c:v>
                </c:pt>
                <c:pt idx="4">
                  <c:v>3</c:v>
                </c:pt>
                <c:pt idx="5">
                  <c:v>13</c:v>
                </c:pt>
                <c:pt idx="6">
                  <c:v>7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86-BC44-B35E-33485ABB9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72537280"/>
        <c:axId val="572531456"/>
      </c:barChart>
      <c:catAx>
        <c:axId val="5725372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572531456"/>
        <c:crosses val="autoZero"/>
        <c:auto val="1"/>
        <c:lblAlgn val="ctr"/>
        <c:lblOffset val="100"/>
        <c:noMultiLvlLbl val="0"/>
      </c:catAx>
      <c:valAx>
        <c:axId val="572531456"/>
        <c:scaling>
          <c:orientation val="minMax"/>
          <c:max val="45995"/>
          <c:min val="45922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572537280"/>
        <c:crosses val="autoZero"/>
        <c:crossBetween val="between"/>
        <c:majorUnit val="7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13</xdr:row>
      <xdr:rowOff>12700</xdr:rowOff>
    </xdr:from>
    <xdr:to>
      <xdr:col>9</xdr:col>
      <xdr:colOff>685800</xdr:colOff>
      <xdr:row>46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5D1CDF-CAF6-1729-C7E8-D264224284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sqref="A1:D1"/>
    </sheetView>
  </sheetViews>
  <sheetFormatPr baseColWidth="10" defaultColWidth="8.83203125" defaultRowHeight="15" x14ac:dyDescent="0.2"/>
  <cols>
    <col min="1" max="1" width="36.33203125" bestFit="1" customWidth="1"/>
    <col min="2" max="3" width="10.1640625" bestFit="1" customWidth="1"/>
    <col min="4" max="4" width="9.5" bestFit="1" customWidth="1"/>
    <col min="5" max="5" width="72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12</v>
      </c>
      <c r="C2" t="s">
        <v>19</v>
      </c>
      <c r="D2" t="s">
        <v>26</v>
      </c>
      <c r="E2" t="s">
        <v>29</v>
      </c>
    </row>
    <row r="3" spans="1:5" x14ac:dyDescent="0.2">
      <c r="A3" t="s">
        <v>6</v>
      </c>
      <c r="B3" t="s">
        <v>13</v>
      </c>
      <c r="C3" t="s">
        <v>20</v>
      </c>
      <c r="D3" t="s">
        <v>26</v>
      </c>
      <c r="E3" t="s">
        <v>30</v>
      </c>
    </row>
    <row r="4" spans="1:5" x14ac:dyDescent="0.2">
      <c r="A4" t="s">
        <v>7</v>
      </c>
      <c r="B4" t="s">
        <v>14</v>
      </c>
      <c r="C4" t="s">
        <v>21</v>
      </c>
      <c r="D4" t="s">
        <v>26</v>
      </c>
      <c r="E4" t="s">
        <v>31</v>
      </c>
    </row>
    <row r="5" spans="1:5" x14ac:dyDescent="0.2">
      <c r="A5" t="s">
        <v>8</v>
      </c>
      <c r="B5" t="s">
        <v>15</v>
      </c>
      <c r="C5" t="s">
        <v>22</v>
      </c>
      <c r="D5" t="s">
        <v>27</v>
      </c>
      <c r="E5" t="s">
        <v>32</v>
      </c>
    </row>
    <row r="6" spans="1:5" x14ac:dyDescent="0.2">
      <c r="A6" t="s">
        <v>9</v>
      </c>
      <c r="B6" t="s">
        <v>16</v>
      </c>
      <c r="C6" t="s">
        <v>23</v>
      </c>
      <c r="D6" t="s">
        <v>28</v>
      </c>
      <c r="E6" t="s">
        <v>33</v>
      </c>
    </row>
    <row r="7" spans="1:5" x14ac:dyDescent="0.2">
      <c r="A7" t="s">
        <v>10</v>
      </c>
      <c r="B7" t="s">
        <v>17</v>
      </c>
      <c r="C7" t="s">
        <v>24</v>
      </c>
      <c r="D7" t="s">
        <v>28</v>
      </c>
      <c r="E7" t="s">
        <v>34</v>
      </c>
    </row>
    <row r="8" spans="1:5" x14ac:dyDescent="0.2">
      <c r="A8" t="s">
        <v>11</v>
      </c>
      <c r="B8" t="s">
        <v>18</v>
      </c>
      <c r="C8" t="s">
        <v>25</v>
      </c>
      <c r="D8" t="s">
        <v>28</v>
      </c>
      <c r="E8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D0AFF-CB37-1A44-B2AB-51CF139275D5}">
  <dimension ref="A1:L28"/>
  <sheetViews>
    <sheetView tabSelected="1" topLeftCell="A14" workbookViewId="0">
      <selection activeCell="E50" sqref="E50"/>
    </sheetView>
  </sheetViews>
  <sheetFormatPr baseColWidth="10" defaultRowHeight="15" x14ac:dyDescent="0.2"/>
  <cols>
    <col min="1" max="1" width="28" bestFit="1" customWidth="1"/>
    <col min="2" max="2" width="43.83203125" bestFit="1" customWidth="1"/>
    <col min="3" max="3" width="10.1640625" bestFit="1" customWidth="1"/>
    <col min="4" max="4" width="11" bestFit="1" customWidth="1"/>
    <col min="5" max="5" width="10.83203125" style="6"/>
    <col min="6" max="6" width="22.1640625" bestFit="1" customWidth="1"/>
    <col min="9" max="9" width="17.1640625" bestFit="1" customWidth="1"/>
  </cols>
  <sheetData>
    <row r="1" spans="1:12" ht="24" x14ac:dyDescent="0.3">
      <c r="B1" s="8" t="s">
        <v>69</v>
      </c>
    </row>
    <row r="2" spans="1:12" x14ac:dyDescent="0.2">
      <c r="A2" s="2" t="s">
        <v>0</v>
      </c>
      <c r="B2" s="2" t="s">
        <v>36</v>
      </c>
      <c r="C2" s="2" t="s">
        <v>38</v>
      </c>
      <c r="D2" s="2" t="s">
        <v>39</v>
      </c>
      <c r="E2" s="4" t="s">
        <v>43</v>
      </c>
      <c r="F2" s="2" t="s">
        <v>40</v>
      </c>
      <c r="I2" s="9" t="s">
        <v>44</v>
      </c>
      <c r="J2" s="9" t="s">
        <v>1</v>
      </c>
      <c r="K2" s="9" t="s">
        <v>2</v>
      </c>
    </row>
    <row r="3" spans="1:12" x14ac:dyDescent="0.2">
      <c r="A3" s="2"/>
      <c r="B3" s="2"/>
      <c r="C3" s="2"/>
      <c r="D3" s="2"/>
      <c r="E3" s="4"/>
      <c r="F3" s="2"/>
      <c r="I3" s="9"/>
      <c r="J3" s="9"/>
      <c r="K3" s="9"/>
    </row>
    <row r="4" spans="1:12" x14ac:dyDescent="0.2">
      <c r="A4" s="2" t="s">
        <v>41</v>
      </c>
      <c r="B4" t="s">
        <v>54</v>
      </c>
      <c r="C4" s="7">
        <v>45925</v>
      </c>
      <c r="D4" s="3">
        <v>45947</v>
      </c>
      <c r="E4" s="5">
        <f>D4-C4</f>
        <v>22</v>
      </c>
      <c r="F4" t="s">
        <v>42</v>
      </c>
      <c r="I4" s="9" t="s">
        <v>45</v>
      </c>
      <c r="J4" s="10">
        <v>45925</v>
      </c>
      <c r="K4" s="10">
        <v>45931</v>
      </c>
      <c r="L4">
        <v>5</v>
      </c>
    </row>
    <row r="5" spans="1:12" x14ac:dyDescent="0.2">
      <c r="B5" t="s">
        <v>55</v>
      </c>
      <c r="C5" s="7">
        <v>45936</v>
      </c>
      <c r="D5" s="7">
        <v>45947</v>
      </c>
      <c r="E5" s="5">
        <f>D5-C5</f>
        <v>11</v>
      </c>
      <c r="I5" s="9" t="s">
        <v>46</v>
      </c>
      <c r="J5" s="10">
        <v>45936</v>
      </c>
      <c r="K5" s="10">
        <v>45940</v>
      </c>
      <c r="L5">
        <v>14</v>
      </c>
    </row>
    <row r="6" spans="1:12" x14ac:dyDescent="0.2">
      <c r="B6" t="s">
        <v>56</v>
      </c>
      <c r="C6" s="7">
        <v>45947</v>
      </c>
      <c r="D6" s="7">
        <v>45985</v>
      </c>
      <c r="E6" s="5">
        <f>D6-C6</f>
        <v>38</v>
      </c>
      <c r="I6" s="9" t="s">
        <v>47</v>
      </c>
      <c r="J6" s="10">
        <v>45943</v>
      </c>
      <c r="K6" s="10">
        <v>45947</v>
      </c>
      <c r="L6">
        <v>24</v>
      </c>
    </row>
    <row r="7" spans="1:12" x14ac:dyDescent="0.2">
      <c r="B7" t="s">
        <v>57</v>
      </c>
      <c r="C7" s="7">
        <v>45950</v>
      </c>
      <c r="D7" s="7">
        <v>45964</v>
      </c>
      <c r="E7" s="5">
        <f>D7-C7</f>
        <v>14</v>
      </c>
      <c r="I7" s="9" t="s">
        <v>48</v>
      </c>
      <c r="J7" s="10">
        <v>45950</v>
      </c>
      <c r="K7" s="10">
        <v>45954</v>
      </c>
      <c r="L7">
        <v>35.299999999999997</v>
      </c>
    </row>
    <row r="8" spans="1:12" x14ac:dyDescent="0.2">
      <c r="B8" t="s">
        <v>68</v>
      </c>
      <c r="C8" s="7">
        <v>45958</v>
      </c>
      <c r="D8" s="7">
        <v>45961</v>
      </c>
      <c r="E8" s="5">
        <f>D8-C8</f>
        <v>3</v>
      </c>
      <c r="I8" s="9" t="s">
        <v>49</v>
      </c>
      <c r="J8" s="10">
        <v>45957</v>
      </c>
      <c r="K8" s="10">
        <v>45961</v>
      </c>
      <c r="L8">
        <v>24</v>
      </c>
    </row>
    <row r="9" spans="1:12" x14ac:dyDescent="0.2">
      <c r="B9" t="s">
        <v>58</v>
      </c>
      <c r="C9" s="7">
        <v>45962</v>
      </c>
      <c r="D9" s="7">
        <v>45975</v>
      </c>
      <c r="E9" s="5">
        <f>D9-C9</f>
        <v>13</v>
      </c>
      <c r="I9" s="9" t="s">
        <v>50</v>
      </c>
      <c r="J9" s="10">
        <v>45994</v>
      </c>
      <c r="K9" s="10">
        <v>45998</v>
      </c>
    </row>
    <row r="10" spans="1:12" x14ac:dyDescent="0.2">
      <c r="B10" t="s">
        <v>59</v>
      </c>
      <c r="C10" s="7">
        <v>45968</v>
      </c>
      <c r="D10" s="7">
        <v>45975</v>
      </c>
      <c r="E10" s="5">
        <f>D10-C10</f>
        <v>7</v>
      </c>
      <c r="I10" s="9" t="s">
        <v>51</v>
      </c>
      <c r="J10" s="10">
        <v>46001</v>
      </c>
      <c r="K10" s="10">
        <v>46005</v>
      </c>
    </row>
    <row r="11" spans="1:12" x14ac:dyDescent="0.2">
      <c r="B11" t="s">
        <v>60</v>
      </c>
      <c r="C11" s="7">
        <v>45975</v>
      </c>
      <c r="D11" s="7">
        <v>45985</v>
      </c>
      <c r="E11" s="5">
        <f>D11-C11</f>
        <v>10</v>
      </c>
      <c r="I11" s="9" t="s">
        <v>52</v>
      </c>
      <c r="J11" s="10">
        <v>46008</v>
      </c>
      <c r="K11" s="10">
        <v>46012</v>
      </c>
    </row>
    <row r="12" spans="1:12" x14ac:dyDescent="0.2">
      <c r="C12" s="7"/>
      <c r="D12" s="7"/>
      <c r="E12" s="5"/>
      <c r="I12" s="9" t="s">
        <v>53</v>
      </c>
      <c r="J12" s="10">
        <v>46015</v>
      </c>
      <c r="K12" s="10">
        <v>46019</v>
      </c>
    </row>
    <row r="13" spans="1:12" x14ac:dyDescent="0.2">
      <c r="C13" s="7"/>
      <c r="D13" s="7"/>
      <c r="E13" s="5"/>
    </row>
    <row r="14" spans="1:12" x14ac:dyDescent="0.2">
      <c r="A14" s="2"/>
      <c r="C14" s="7"/>
      <c r="D14" s="3"/>
      <c r="E14" s="5"/>
    </row>
    <row r="15" spans="1:12" x14ac:dyDescent="0.2">
      <c r="C15" s="7"/>
      <c r="D15" s="3"/>
      <c r="E15" s="5"/>
      <c r="L15">
        <f>SUM(L4:L9)</f>
        <v>102.3</v>
      </c>
    </row>
    <row r="16" spans="1:12" x14ac:dyDescent="0.2">
      <c r="A16" s="2"/>
      <c r="C16" s="7"/>
      <c r="D16" s="3"/>
      <c r="E16" s="5"/>
    </row>
    <row r="17" spans="1:12" x14ac:dyDescent="0.2">
      <c r="C17" s="7"/>
      <c r="D17" s="3"/>
      <c r="E17" s="5"/>
    </row>
    <row r="18" spans="1:12" x14ac:dyDescent="0.2">
      <c r="A18" s="2"/>
      <c r="C18" s="7"/>
      <c r="D18" s="3"/>
      <c r="E18" s="5"/>
      <c r="K18" s="7" t="s">
        <v>65</v>
      </c>
    </row>
    <row r="19" spans="1:12" x14ac:dyDescent="0.2">
      <c r="C19" s="7"/>
      <c r="D19" s="3"/>
      <c r="E19" s="5"/>
      <c r="K19" s="7" t="s">
        <v>61</v>
      </c>
      <c r="L19">
        <v>8</v>
      </c>
    </row>
    <row r="20" spans="1:12" x14ac:dyDescent="0.2">
      <c r="C20" s="7"/>
      <c r="D20" s="3"/>
      <c r="E20" s="5"/>
      <c r="K20" s="7" t="s">
        <v>66</v>
      </c>
    </row>
    <row r="21" spans="1:12" x14ac:dyDescent="0.2">
      <c r="C21" s="7"/>
      <c r="D21" s="3"/>
      <c r="E21" s="5"/>
      <c r="K21" s="7" t="s">
        <v>67</v>
      </c>
    </row>
    <row r="22" spans="1:12" x14ac:dyDescent="0.2">
      <c r="A22" s="2"/>
      <c r="C22" s="7"/>
      <c r="D22" s="3"/>
      <c r="E22" s="5"/>
      <c r="K22" s="7" t="s">
        <v>62</v>
      </c>
    </row>
    <row r="23" spans="1:12" x14ac:dyDescent="0.2">
      <c r="C23" s="7"/>
      <c r="D23" s="3"/>
      <c r="E23" s="5"/>
      <c r="K23" s="7" t="s">
        <v>63</v>
      </c>
    </row>
    <row r="24" spans="1:12" x14ac:dyDescent="0.2">
      <c r="A24" s="2"/>
      <c r="C24" s="7"/>
      <c r="D24" s="3"/>
      <c r="E24" s="5"/>
      <c r="K24" s="7" t="s">
        <v>64</v>
      </c>
    </row>
    <row r="25" spans="1:12" x14ac:dyDescent="0.2">
      <c r="C25" s="7"/>
      <c r="D25" s="3"/>
      <c r="E25" s="5"/>
    </row>
    <row r="26" spans="1:12" x14ac:dyDescent="0.2">
      <c r="C26" s="7"/>
      <c r="D26" s="3"/>
      <c r="E26" s="5"/>
    </row>
    <row r="27" spans="1:12" x14ac:dyDescent="0.2">
      <c r="A27" s="2"/>
      <c r="C27" s="7"/>
      <c r="D27" s="3"/>
      <c r="E27" s="5"/>
      <c r="K27" s="7">
        <v>45922</v>
      </c>
    </row>
    <row r="28" spans="1:12" x14ac:dyDescent="0.2">
      <c r="C28" s="7"/>
      <c r="D28" s="3"/>
      <c r="E28" s="5"/>
    </row>
  </sheetData>
  <phoneticPr fontId="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E5A4C-99A1-8147-AD1C-E41A227C65B9}">
  <dimension ref="A1:E1"/>
  <sheetViews>
    <sheetView workbookViewId="0">
      <selection activeCell="E3" sqref="E3"/>
    </sheetView>
  </sheetViews>
  <sheetFormatPr baseColWidth="10" defaultRowHeight="15" x14ac:dyDescent="0.2"/>
  <cols>
    <col min="1" max="1" width="40.5" customWidth="1"/>
  </cols>
  <sheetData>
    <row r="1" spans="1:5" x14ac:dyDescent="0.2">
      <c r="A1" s="1" t="s">
        <v>36</v>
      </c>
      <c r="B1" s="1" t="s">
        <v>1</v>
      </c>
      <c r="C1" s="1" t="s">
        <v>2</v>
      </c>
      <c r="D1" s="1" t="s">
        <v>37</v>
      </c>
      <c r="E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Yarmohamadi  Amir</cp:lastModifiedBy>
  <dcterms:created xsi:type="dcterms:W3CDTF">2025-10-28T11:02:36Z</dcterms:created>
  <dcterms:modified xsi:type="dcterms:W3CDTF">2025-10-28T14:19:02Z</dcterms:modified>
</cp:coreProperties>
</file>